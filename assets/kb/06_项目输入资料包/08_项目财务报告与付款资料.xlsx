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fba733975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管理汇总" sheetId="1" r:id="Raf2dd2d772c446e1"/>
    <x:sheet xmlns:r="http://schemas.openxmlformats.org/officeDocument/2006/relationships" name="预算批准与明细" sheetId="2" r:id="R566139fbdd3442c4"/>
    <x:sheet xmlns:r="http://schemas.openxmlformats.org/officeDocument/2006/relationships" name="合同付款与流水" sheetId="3" r:id="R633d78c1cc614a04"/>
    <x:sheet xmlns:r="http://schemas.openxmlformats.org/officeDocument/2006/relationships" name="发票登记" sheetId="4" r:id="Rac1e03c801b443d7"/>
    <x:sheet xmlns:r="http://schemas.openxmlformats.org/officeDocument/2006/relationships" name="实际成本明细" sheetId="5" r:id="R2f5e783f665546d4"/>
    <x:sheet xmlns:r="http://schemas.openxmlformats.org/officeDocument/2006/relationships" name="月度成本预测" sheetId="6" r:id="R94938ce238a6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yyyy-mm-dd"/>
    <x:numFmt numFmtId="202" formatCode="0.0%"/>
  </x:numFmts>
  <x:fonts count="6">
    <x:font>
      <x:sz val="11"/>
      <x:name val="Carlito"/>
    </x:font>
    <x:font>
      <x:b/>
      <x:sz val="16"/>
      <x:color rgb="FFFFFFFF"/>
      <x:name val="Microsoft YaHei"/>
    </x:font>
    <x:font>
      <x:sz val="10"/>
      <x:color rgb="FF404040"/>
      <x:name val="Microsoft YaHei"/>
    </x:font>
    <x:font>
      <x:b/>
      <x:sz val="10"/>
      <x:color rgb="FFFFFFFF"/>
      <x:name val="Microsoft YaHei"/>
    </x:font>
    <x:font>
      <x:sz val="10"/>
      <x:color rgb="FF000000"/>
      <x:name val="Microsoft YaHei"/>
    </x:font>
    <x:font>
      <x:b/>
      <x:sz val="10"/>
      <x:color rgb="FF00000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2F2F2"/>
      </x:patternFill>
    </x:fill>
    <x:fill>
      <x:patternFill patternType="solid">
        <x:fgColor rgb="FF404040"/>
      </x:patternFill>
    </x:fill>
  </x:fills>
  <x:borders count="3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horizontal="right" vertical="center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200" fontId="5" fillId="3" borderId="1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 wrapText="1"/>
    </x:xf>
    <x:xf numFmtId="202" fontId="4" fillId="0" borderId="2" xfId="0" applyNumberFormat="1" applyFont="1" applyFill="1" applyBorder="1" applyAlignment="1">
      <x:alignment vertical="center" wrapText="1"/>
    </x:xf>
    <x:xf numFmtId="202" fontId="5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d9b6f1f3d4cd6" /><Relationship Type="http://schemas.openxmlformats.org/officeDocument/2006/relationships/theme" Target="/xl/theme/theme1.xml" Id="Ra4ad7334291342b5" /><Relationship Type="http://schemas.openxmlformats.org/officeDocument/2006/relationships/sharedStrings" Target="/xl/sharedStrings.xml" Id="R707d7e76e0d34716" /><Relationship Type="http://schemas.openxmlformats.org/officeDocument/2006/relationships/worksheet" Target="/xl/worksheets/sheet1.xml" Id="Raf2dd2d772c446e1" /><Relationship Type="http://schemas.openxmlformats.org/officeDocument/2006/relationships/worksheet" Target="/xl/worksheets/sheet2.xml" Id="R566139fbdd3442c4" /><Relationship Type="http://schemas.openxmlformats.org/officeDocument/2006/relationships/worksheet" Target="/xl/worksheets/sheet3.xml" Id="R633d78c1cc614a04" /><Relationship Type="http://schemas.openxmlformats.org/officeDocument/2006/relationships/worksheet" Target="/xl/worksheets/sheet4.xml" Id="Rac1e03c801b443d7" /><Relationship Type="http://schemas.openxmlformats.org/officeDocument/2006/relationships/worksheet" Target="/xl/worksheets/sheet5.xml" Id="R2f5e783f665546d4" /><Relationship Type="http://schemas.openxmlformats.org/officeDocument/2006/relationships/worksheet" Target="/xl/worksheets/sheet6.xml" Id="R94938ce238a647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5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4" t="str">
        <x:v>项目财务管理汇总</x:v>
      </x:c>
      <x:c r="B1" s="4" t="str">
        <x:v>项目财务管理汇总</x:v>
      </x:c>
      <x:c r="C1" s="4" t="str">
        <x:v>项目财务管理汇总</x:v>
      </x:c>
      <x:c r="D1" s="4" t="str">
        <x:v>项目财务管理汇总</x:v>
      </x:c>
      <x:c r="E1" s="4" t="str">
        <x:v>项目财务管理汇总</x:v>
      </x:c>
      <x:c r="F1" s="4" t="str">
        <x:v>项目财务管理汇总</x:v>
      </x:c>
      <x:c r="G1" s="4" t="str">
        <x:v>项目财务管理汇总</x:v>
      </x:c>
      <x:c r="H1" s="4" t="str">
        <x:v>项目财务管理汇总</x:v>
      </x:c>
    </x:row>
    <x:row r="2" ht="22" customHeight="1">
      <x:c r="A2" s="8" t="str">
        <x:v>学生输入资料｜截至2026-12-31｜本页含待核差异</x:v>
      </x:c>
      <x:c r="B2" s="8" t="str">
        <x:v>学生输入资料｜截至2026-12-31｜本页含待核差异</x:v>
      </x:c>
      <x:c r="C2" s="8" t="str">
        <x:v>学生输入资料｜截至2026-12-31｜本页含待核差异</x:v>
      </x:c>
      <x:c r="D2" s="8" t="str">
        <x:v>学生输入资料｜截至2026-12-31｜本页含待核差异</x:v>
      </x:c>
      <x:c r="E2" s="8" t="str">
        <x:v>学生输入资料｜截至2026-12-31｜本页含待核差异</x:v>
      </x:c>
      <x:c r="F2" s="8" t="str">
        <x:v>学生输入资料｜截至2026-12-31｜本页含待核差异</x:v>
      </x:c>
      <x:c r="G2" s="8" t="str">
        <x:v>学生输入资料｜截至2026-12-31｜本页含待核差异</x:v>
      </x:c>
      <x:c r="H2" s="8" t="str">
        <x:v>学生输入资料｜截至2026-12-31｜本页含待核差异</x:v>
      </x:c>
    </x:row>
    <x:row r="4" ht="28" customHeight="1">
      <x:c r="A4" s="14" t="str">
        <x:v>指标</x:v>
      </x:c>
      <x:c r="B4" s="14" t="str">
        <x:v>月报列示</x:v>
      </x:c>
      <x:c r="C4" s="14" t="str">
        <x:v>说明</x:v>
      </x:c>
    </x:row>
    <x:row r="5">
      <x:c r="A5" s="18" t="str">
        <x:v>采购控制价</x:v>
      </x:c>
      <x:c r="B5" s="19" t="n">
        <x:v>3450000</x:v>
      </x:c>
      <x:c r="C5" s="18" t="str">
        <x:v>招标上限</x:v>
      </x:c>
    </x:row>
    <x:row r="6">
      <x:c r="A6" s="18" t="str">
        <x:v>投标报价</x:v>
      </x:c>
      <x:c r="B6" s="19" t="n">
        <x:v>3280000</x:v>
      </x:c>
      <x:c r="C6" s="18" t="str">
        <x:v>供应商投标含税价</x:v>
      </x:c>
    </x:row>
    <x:row r="7">
      <x:c r="A7" s="18" t="str">
        <x:v>合同总价</x:v>
      </x:c>
      <x:c r="B7" s="19" t="n">
        <x:v>3260000</x:v>
      </x:c>
      <x:c r="C7" s="18" t="str">
        <x:v>已签署含税合同</x:v>
      </x:c>
    </x:row>
    <x:row r="8">
      <x:c r="A8" s="18" t="str">
        <x:v>内部批准预算</x:v>
      </x:c>
      <x:c r="B8" s="19" t="n">
        <x:v>3680000</x:v>
      </x:c>
      <x:c r="C8" s="18" t="str">
        <x:v>预算批准单</x:v>
      </x:c>
    </x:row>
    <x:row r="9">
      <x:c r="A9" s="18" t="str">
        <x:v>预算明细合计</x:v>
      </x:c>
      <x:c r="B9" s="19" t="n">
        <x:v>3675000</x:v>
      </x:c>
      <x:c r="C9" s="18" t="str">
        <x:v>与批准预算差5,000</x:v>
      </x:c>
    </x:row>
    <x:row r="10">
      <x:c r="A10" s="18" t="str">
        <x:v>累计已支付</x:v>
      </x:c>
      <x:c r="B10" s="19" t="n">
        <x:v>1304000</x:v>
      </x:c>
      <x:c r="C10" s="18" t="str">
        <x:v>两笔付款流水</x:v>
      </x:c>
    </x:row>
    <x:row r="11">
      <x:c r="A11" s="18" t="str">
        <x:v>月报实际成本</x:v>
      </x:c>
      <x:c r="B11" s="19" t="n">
        <x:v>1347200</x:v>
      </x:c>
      <x:c r="C11" s="18" t="str">
        <x:v>12月月报列示</x:v>
      </x:c>
    </x:row>
    <x:row r="12">
      <x:c r="A12" s="18" t="str">
        <x:v>预计完工成本</x:v>
      </x:c>
      <x:c r="B12" s="19" t="n">
        <x:v>3646000</x:v>
      </x:c>
      <x:c r="C12" s="18" t="str">
        <x:v>当前预测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6" hidden="0" customWidth="1"/>
    <x:col min="4" max="4" width="20" hidden="0" customWidth="1"/>
    <x:col min="5" max="5" width="24" hidden="0" customWidth="1"/>
    <x:col min="6" max="6" width="20" hidden="0" customWidth="1"/>
    <x:col min="7" max="7" width="12" hidden="0" customWidth="1"/>
  </x:cols>
  <x:sheetData>
    <x:row r="1" ht="30" customHeight="1">
      <x:c r="A1" s="4" t="str">
        <x:v>项目预算批准与明细</x:v>
      </x:c>
      <x:c r="B1" s="4" t="str">
        <x:v>项目预算批准与明细</x:v>
      </x:c>
      <x:c r="C1" s="4" t="str">
        <x:v>项目预算批准与明细</x:v>
      </x:c>
      <x:c r="D1" s="4" t="str">
        <x:v>项目预算批准与明细</x:v>
      </x:c>
      <x:c r="E1" s="4" t="str">
        <x:v>项目预算批准与明细</x:v>
      </x:c>
      <x:c r="F1" s="4" t="str">
        <x:v>项目预算批准与明细</x:v>
      </x:c>
      <x:c r="G1" s="4" t="str">
        <x:v>项目预算批准与明细</x:v>
      </x:c>
    </x:row>
    <x:row r="2" ht="22" customHeight="1">
      <x:c r="A2" s="8" t="str">
        <x:v>批准预算3,680,000元；明细为汇总草案</x:v>
      </x:c>
      <x:c r="B2" s="8" t="str">
        <x:v>批准预算3,680,000元；明细为汇总草案</x:v>
      </x:c>
      <x:c r="C2" s="8" t="str">
        <x:v>批准预算3,680,000元；明细为汇总草案</x:v>
      </x:c>
      <x:c r="D2" s="8" t="str">
        <x:v>批准预算3,680,000元；明细为汇总草案</x:v>
      </x:c>
      <x:c r="E2" s="8" t="str">
        <x:v>批准预算3,680,000元；明细为汇总草案</x:v>
      </x:c>
      <x:c r="F2" s="8" t="str">
        <x:v>批准预算3,680,000元；明细为汇总草案</x:v>
      </x:c>
      <x:c r="G2" s="8" t="str">
        <x:v>批准预算3,680,000元；明细为汇总草案</x:v>
      </x:c>
    </x:row>
    <x:row r="4" ht="28" customHeight="1">
      <x:c r="A4" s="14" t="str">
        <x:v>科目</x:v>
      </x:c>
      <x:c r="B4" s="14" t="str">
        <x:v>预算项</x:v>
      </x:c>
      <x:c r="C4" s="14" t="str">
        <x:v>明细金额</x:v>
      </x:c>
      <x:c r="D4" s="14" t="str">
        <x:v>责任部门</x:v>
      </x:c>
      <x:c r="E4" s="14" t="str">
        <x:v>用途</x:v>
      </x:c>
      <x:c r="F4" s="14" t="str">
        <x:v>依据</x:v>
      </x:c>
      <x:c r="G4" s="14" t="str">
        <x:v>状态</x:v>
      </x:c>
    </x:row>
    <x:row r="5">
      <x:c r="A5" s="18" t="str">
        <x:v>B01</x:v>
      </x:c>
      <x:c r="B5" s="18" t="str">
        <x:v>外部软件与实施</x:v>
      </x:c>
      <x:c r="C5" s="20" t="n">
        <x:v>3260000</x:v>
      </x:c>
      <x:c r="D5" s="18" t="str">
        <x:v>数字运营中心</x:v>
      </x:c>
      <x:c r="E5" s="18" t="str">
        <x:v>合同范围</x:v>
      </x:c>
      <x:c r="F5" s="18" t="str">
        <x:v>CYHT-2026-048</x:v>
      </x:c>
      <x:c r="G5" s="18" t="str">
        <x:v>已批准</x:v>
      </x:c>
    </x:row>
    <x:row r="6">
      <x:c r="A6" s="18" t="str">
        <x:v>B02</x:v>
      </x:c>
      <x:c r="B6" s="18" t="str">
        <x:v>甲方内部人工</x:v>
      </x:c>
      <x:c r="C6" s="20" t="n">
        <x:v>180000</x:v>
      </x:c>
      <x:c r="D6" s="18" t="str">
        <x:v>PMO/业务/技术</x:v>
      </x:c>
      <x:c r="E6" s="18" t="str">
        <x:v>内部投入</x:v>
      </x:c>
      <x:c r="F6" s="18" t="str">
        <x:v>预算批准单</x:v>
      </x:c>
      <x:c r="G6" s="18" t="str">
        <x:v>已批准</x:v>
      </x:c>
    </x:row>
    <x:row r="7">
      <x:c r="A7" s="18" t="str">
        <x:v>B03</x:v>
      </x:c>
      <x:c r="B7" s="18" t="str">
        <x:v>第三方安全测评</x:v>
      </x:c>
      <x:c r="C7" s="20" t="n">
        <x:v>90000</x:v>
      </x:c>
      <x:c r="D7" s="18" t="str">
        <x:v>信息安全</x:v>
      </x:c>
      <x:c r="E7" s="18" t="str">
        <x:v>外部测评</x:v>
      </x:c>
      <x:c r="F7" s="18" t="str">
        <x:v>预算批准单</x:v>
      </x:c>
      <x:c r="G7" s="18" t="str">
        <x:v>已批准</x:v>
      </x:c>
    </x:row>
    <x:row r="8">
      <x:c r="A8" s="18" t="str">
        <x:v>B04</x:v>
      </x:c>
      <x:c r="B8" s="18" t="str">
        <x:v>项目差旅与会议</x:v>
      </x:c>
      <x:c r="C8" s="20" t="n">
        <x:v>45000</x:v>
      </x:c>
      <x:c r="D8" s="18" t="str">
        <x:v>PMO</x:v>
      </x:c>
      <x:c r="E8" s="18" t="str">
        <x:v>差旅会议</x:v>
      </x:c>
      <x:c r="F8" s="18" t="str">
        <x:v>预算批准单</x:v>
      </x:c>
      <x:c r="G8" s="18" t="str">
        <x:v>已批准</x:v>
      </x:c>
    </x:row>
    <x:row r="9">
      <x:c r="A9" s="18" t="str">
        <x:v>B05</x:v>
      </x:c>
      <x:c r="B9" s="18" t="str">
        <x:v>培训资料与场地</x:v>
      </x:c>
      <x:c r="C9" s="20" t="n">
        <x:v>0</x:v>
      </x:c>
      <x:c r="D9" s="18" t="str">
        <x:v>人力资源中心</x:v>
      </x:c>
      <x:c r="E9" s="18" t="str">
        <x:v>草案漏列5,000</x:v>
      </x:c>
      <x:c r="F9" s="18" t="str">
        <x:v>预算批准单</x:v>
      </x:c>
      <x:c r="G9" s="18" t="str">
        <x:v>待修订</x:v>
      </x:c>
    </x:row>
    <x:row r="10">
      <x:c r="A10" s="18" t="str">
        <x:v>B06</x:v>
      </x:c>
      <x:c r="B10" s="18" t="str">
        <x:v>预备费</x:v>
      </x:c>
      <x:c r="C10" s="20" t="n">
        <x:v>100000</x:v>
      </x:c>
      <x:c r="D10" s="18" t="str">
        <x:v>项目发起人</x:v>
      </x:c>
      <x:c r="E10" s="18" t="str">
        <x:v>批准变更使用</x:v>
      </x:c>
      <x:c r="F10" s="18" t="str">
        <x:v>预算批准单</x:v>
      </x:c>
      <x:c r="G10" s="18" t="str">
        <x:v>已批准</x:v>
      </x:c>
    </x:row>
    <x:row r="11">
      <x:c r="A11" s="23" t="str">
        <x:v>合计</x:v>
      </x:c>
      <x:c r="B11" s="23"/>
      <x:c r="C11" s="24" t="n">
        <x:f>SUM(C5:C10)</x:f>
        <x:v>3675000</x:v>
      </x:c>
      <x:c r="D11" s="23"/>
      <x:c r="E11" s="23"/>
      <x:c r="F11" s="23"/>
      <x:c r="G11" s="23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5" hidden="0" customWidth="1"/>
    <x:col min="3" max="3" width="10" hidden="0" customWidth="1"/>
    <x:col min="4" max="4" width="13" hidden="0" customWidth="1"/>
    <x:col min="5" max="5" width="16" hidden="0" customWidth="1"/>
    <x:col min="6" max="6" width="18" hidden="0" customWidth="1"/>
    <x:col min="7" max="7" width="18" hidden="0" customWidth="1"/>
    <x:col min="8" max="8" width="13" hidden="0" customWidth="1"/>
    <x:col min="9" max="9" width="16" hidden="0" customWidth="1"/>
    <x:col min="10" max="10" width="12" hidden="0" customWidth="1"/>
  </x:cols>
  <x:sheetData>
    <x:row r="1" ht="30" customHeight="1">
      <x:c r="A1" s="4" t="str">
        <x:v>合同付款计划与付款流水</x:v>
      </x:c>
      <x:c r="B1" s="4" t="str">
        <x:v>合同付款计划与付款流水</x:v>
      </x:c>
      <x:c r="C1" s="4" t="str">
        <x:v>合同付款计划与付款流水</x:v>
      </x:c>
      <x:c r="D1" s="4" t="str">
        <x:v>合同付款计划与付款流水</x:v>
      </x:c>
      <x:c r="E1" s="4" t="str">
        <x:v>合同付款计划与付款流水</x:v>
      </x:c>
      <x:c r="F1" s="4" t="str">
        <x:v>合同付款计划与付款流水</x:v>
      </x:c>
      <x:c r="G1" s="4" t="str">
        <x:v>合同付款计划与付款流水</x:v>
      </x:c>
      <x:c r="H1" s="4" t="str">
        <x:v>合同付款计划与付款流水</x:v>
      </x:c>
      <x:c r="I1" s="4" t="str">
        <x:v>合同付款计划与付款流水</x:v>
      </x:c>
      <x:c r="J1" s="4" t="str">
        <x:v>合同付款计划与付款流水</x:v>
      </x:c>
    </x:row>
    <x:row r="2" ht="22" customHeight="1">
      <x:c r="A2" s="8" t="str">
        <x:v>合同价3,260,000元；截至12月31日已支付前两期</x:v>
      </x:c>
      <x:c r="B2" s="8" t="str">
        <x:v>合同价3,260,000元；截至12月31日已支付前两期</x:v>
      </x:c>
      <x:c r="C2" s="8" t="str">
        <x:v>合同价3,260,000元；截至12月31日已支付前两期</x:v>
      </x:c>
      <x:c r="D2" s="8" t="str">
        <x:v>合同价3,260,000元；截至12月31日已支付前两期</x:v>
      </x:c>
      <x:c r="E2" s="8" t="str">
        <x:v>合同价3,260,000元；截至12月31日已支付前两期</x:v>
      </x:c>
      <x:c r="F2" s="8" t="str">
        <x:v>合同价3,260,000元；截至12月31日已支付前两期</x:v>
      </x:c>
      <x:c r="G2" s="8" t="str">
        <x:v>合同价3,260,000元；截至12月31日已支付前两期</x:v>
      </x:c>
      <x:c r="H2" s="8" t="str">
        <x:v>合同价3,260,000元；截至12月31日已支付前两期</x:v>
      </x:c>
      <x:c r="I2" s="8" t="str">
        <x:v>合同价3,260,000元；截至12月31日已支付前两期</x:v>
      </x:c>
      <x:c r="J2" s="8" t="str">
        <x:v>合同价3,260,000元；截至12月31日已支付前两期</x:v>
      </x:c>
    </x:row>
    <x:row r="4" ht="28" customHeight="1">
      <x:c r="A4" s="14" t="str">
        <x:v>序号</x:v>
      </x:c>
      <x:c r="B4" s="14" t="str">
        <x:v>付款节点</x:v>
      </x:c>
      <x:c r="C4" s="14" t="str">
        <x:v>比例</x:v>
      </x:c>
      <x:c r="D4" s="14" t="str">
        <x:v>计划日期</x:v>
      </x:c>
      <x:c r="E4" s="14" t="str">
        <x:v>应付金额</x:v>
      </x:c>
      <x:c r="F4" s="14" t="str">
        <x:v>验收状态</x:v>
      </x:c>
      <x:c r="G4" s="14" t="str">
        <x:v>发票号</x:v>
      </x:c>
      <x:c r="H4" s="14" t="str">
        <x:v>支付日期</x:v>
      </x:c>
      <x:c r="I4" s="14" t="str">
        <x:v>支付金额</x:v>
      </x:c>
      <x:c r="J4" s="14" t="str">
        <x:v>状态</x:v>
      </x:c>
    </x:row>
    <x:row r="5">
      <x:c r="A5" s="18" t="n">
        <x:v>1</x:v>
      </x:c>
      <x:c r="B5" s="18" t="str">
        <x:v>合同生效</x:v>
      </x:c>
      <x:c r="C5" s="26" t="n">
        <x:v>0.2</x:v>
      </x:c>
      <x:c r="D5" s="25" t="n">
        <x:v>46320</x:v>
      </x:c>
      <x:c r="E5" s="20" t="n">
        <x:v>652000</x:v>
      </x:c>
      <x:c r="F5" s="18" t="str">
        <x:v>验收资料齐全</x:v>
      </x:c>
      <x:c r="G5" s="18" t="str">
        <x:v>INV-2026-1001</x:v>
      </x:c>
      <x:c r="H5" s="25" t="n">
        <x:v>46323</x:v>
      </x:c>
      <x:c r="I5" s="20" t="n">
        <x:v>652000</x:v>
      </x:c>
      <x:c r="J5" s="18" t="str">
        <x:v>已支付</x:v>
      </x:c>
    </x:row>
    <x:row r="6">
      <x:c r="A6" s="18" t="n">
        <x:v>2</x:v>
      </x:c>
      <x:c r="B6" s="18" t="str">
        <x:v>需求与总体设计</x:v>
      </x:c>
      <x:c r="C6" s="26" t="n">
        <x:v>0.2</x:v>
      </x:c>
      <x:c r="D6" s="25" t="n">
        <x:v>46381</x:v>
      </x:c>
      <x:c r="E6" s="20" t="n">
        <x:v>652000</x:v>
      </x:c>
      <x:c r="F6" s="18" t="str">
        <x:v>有条件验收</x:v>
      </x:c>
      <x:c r="G6" s="18" t="str">
        <x:v>INV-2026-1208</x:v>
      </x:c>
      <x:c r="H6" s="25" t="n">
        <x:v>46385</x:v>
      </x:c>
      <x:c r="I6" s="20" t="n">
        <x:v>652000</x:v>
      </x:c>
      <x:c r="J6" s="18" t="str">
        <x:v>已支付</x:v>
      </x:c>
    </x:row>
    <x:row r="7">
      <x:c r="A7" s="18" t="n">
        <x:v>3</x:v>
      </x:c>
      <x:c r="B7" s="18" t="str">
        <x:v>构建与集成测试</x:v>
      </x:c>
      <x:c r="C7" s="26" t="n">
        <x:v>0.3</x:v>
      </x:c>
      <x:c r="D7" s="25" t="n">
        <x:v>46471</x:v>
      </x:c>
      <x:c r="E7" s="20" t="n">
        <x:v>978000</x:v>
      </x:c>
      <x:c r="F7" s="18" t="str">
        <x:v>未到期</x:v>
      </x:c>
      <x:c r="G7" s="18"/>
      <x:c r="H7" s="25"/>
      <x:c r="I7" s="20" t="n">
        <x:v>0</x:v>
      </x:c>
      <x:c r="J7" s="18" t="str">
        <x:v>未支付</x:v>
      </x:c>
    </x:row>
    <x:row r="8">
      <x:c r="A8" s="18" t="n">
        <x:v>4</x:v>
      </x:c>
      <x:c r="B8" s="18" t="str">
        <x:v>最终验收</x:v>
      </x:c>
      <x:c r="C8" s="26" t="n">
        <x:v>0.25</x:v>
      </x:c>
      <x:c r="D8" s="25" t="n">
        <x:v>46507</x:v>
      </x:c>
      <x:c r="E8" s="20" t="n">
        <x:v>815000</x:v>
      </x:c>
      <x:c r="F8" s="18" t="str">
        <x:v>未到期</x:v>
      </x:c>
      <x:c r="G8" s="18"/>
      <x:c r="H8" s="25"/>
      <x:c r="I8" s="20" t="n">
        <x:v>0</x:v>
      </x:c>
      <x:c r="J8" s="18" t="str">
        <x:v>未支付</x:v>
      </x:c>
    </x:row>
    <x:row r="9">
      <x:c r="A9" s="18" t="n">
        <x:v>5</x:v>
      </x:c>
      <x:c r="B9" s="18" t="str">
        <x:v>质保期满</x:v>
      </x:c>
      <x:c r="C9" s="26" t="n">
        <x:v>0.05</x:v>
      </x:c>
      <x:c r="D9" s="25" t="n">
        <x:v>46868</x:v>
      </x:c>
      <x:c r="E9" s="20" t="n">
        <x:v>163000</x:v>
      </x:c>
      <x:c r="F9" s="18" t="str">
        <x:v>未到期</x:v>
      </x:c>
      <x:c r="G9" s="18"/>
      <x:c r="H9" s="25"/>
      <x:c r="I9" s="20" t="n">
        <x:v>0</x:v>
      </x:c>
      <x:c r="J9" s="18" t="str">
        <x:v>未支付</x:v>
      </x:c>
    </x:row>
    <x:row r="10">
      <x:c r="A10" s="23" t="str">
        <x:v>合计</x:v>
      </x:c>
      <x:c r="B10" s="23"/>
      <x:c r="C10" s="27" t="n">
        <x:f>SUM(C5:C9)</x:f>
        <x:v>1</x:v>
      </x:c>
      <x:c r="D10" s="23"/>
      <x:c r="E10" s="24" t="n">
        <x:f>SUM(E5:E9)</x:f>
        <x:v>3260000</x:v>
      </x:c>
      <x:c r="F10" s="23"/>
      <x:c r="G10" s="23"/>
      <x:c r="H10" s="23"/>
      <x:c r="I10" s="24" t="n">
        <x:f>SUM(I5:I9)</x:f>
        <x:v>1304000</x:v>
      </x:c>
      <x:c r="J10" s="23"/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30" hidden="0" customWidth="1"/>
    <x:col min="4" max="4" width="18" hidden="0" customWidth="1"/>
    <x:col min="5" max="5" width="16" hidden="0" customWidth="1"/>
    <x:col min="6" max="6" width="10" hidden="0" customWidth="1"/>
    <x:col min="7" max="7" width="14" hidden="0" customWidth="1"/>
    <x:col min="8" max="8" width="16" hidden="0" customWidth="1"/>
  </x:cols>
  <x:sheetData>
    <x:row r="1" ht="30" customHeight="1">
      <x:c r="A1" s="4" t="str">
        <x:v>项目发票登记</x:v>
      </x:c>
      <x:c r="B1" s="4" t="str">
        <x:v>项目发票登记</x:v>
      </x:c>
      <x:c r="C1" s="4" t="str">
        <x:v>项目发票登记</x:v>
      </x:c>
      <x:c r="D1" s="4" t="str">
        <x:v>项目发票登记</x:v>
      </x:c>
      <x:c r="E1" s="4" t="str">
        <x:v>项目发票登记</x:v>
      </x:c>
      <x:c r="F1" s="4" t="str">
        <x:v>项目发票登记</x:v>
      </x:c>
      <x:c r="G1" s="4" t="str">
        <x:v>项目发票登记</x:v>
      </x:c>
      <x:c r="H1" s="4" t="str">
        <x:v>项目发票登记</x:v>
      </x:c>
    </x:row>
    <x:row r="2" ht="22" customHeight="1">
      <x:c r="A2" s="8" t="str">
        <x:v>本台账当前合计1,284,000元，需与付款流水核对</x:v>
      </x:c>
      <x:c r="B2" s="8" t="str">
        <x:v>本台账当前合计1,284,000元，需与付款流水核对</x:v>
      </x:c>
      <x:c r="C2" s="8" t="str">
        <x:v>本台账当前合计1,284,000元，需与付款流水核对</x:v>
      </x:c>
      <x:c r="D2" s="8" t="str">
        <x:v>本台账当前合计1,284,000元，需与付款流水核对</x:v>
      </x:c>
      <x:c r="E2" s="8" t="str">
        <x:v>本台账当前合计1,284,000元，需与付款流水核对</x:v>
      </x:c>
      <x:c r="F2" s="8" t="str">
        <x:v>本台账当前合计1,284,000元，需与付款流水核对</x:v>
      </x:c>
      <x:c r="G2" s="8" t="str">
        <x:v>本台账当前合计1,284,000元，需与付款流水核对</x:v>
      </x:c>
      <x:c r="H2" s="8" t="str">
        <x:v>本台账当前合计1,284,000元，需与付款流水核对</x:v>
      </x:c>
    </x:row>
    <x:row r="4" ht="28" customHeight="1">
      <x:c r="A4" s="14" t="str">
        <x:v>发票号</x:v>
      </x:c>
      <x:c r="B4" s="14" t="str">
        <x:v>日期</x:v>
      </x:c>
      <x:c r="C4" s="14" t="str">
        <x:v>供应商</x:v>
      </x:c>
      <x:c r="D4" s="14" t="str">
        <x:v>内容</x:v>
      </x:c>
      <x:c r="E4" s="14" t="str">
        <x:v>不含税</x:v>
      </x:c>
      <x:c r="F4" s="14" t="str">
        <x:v>税率</x:v>
      </x:c>
      <x:c r="G4" s="14" t="str">
        <x:v>税额</x:v>
      </x:c>
      <x:c r="H4" s="14" t="str">
        <x:v>含税</x:v>
      </x:c>
    </x:row>
    <x:row r="5">
      <x:c r="A5" s="18" t="str">
        <x:v>INV-2026-1001</x:v>
      </x:c>
      <x:c r="B5" s="25" t="n">
        <x:v>46321</x:v>
      </x:c>
      <x:c r="C5" s="18" t="str">
        <x:v>杭州远序数字科技有限公司</x:v>
      </x:c>
      <x:c r="D5" s="18" t="str">
        <x:v>实施服务</x:v>
      </x:c>
      <x:c r="E5" s="20" t="n">
        <x:v>615094.34</x:v>
      </x:c>
      <x:c r="F5" s="26" t="n">
        <x:v>0.06</x:v>
      </x:c>
      <x:c r="G5" s="20" t="n">
        <x:v>36905.66</x:v>
      </x:c>
      <x:c r="H5" s="20" t="n">
        <x:v>652000</x:v>
      </x:c>
    </x:row>
    <x:row r="6">
      <x:c r="A6" s="18" t="str">
        <x:v>INV-2026-1208</x:v>
      </x:c>
      <x:c r="B6" s="25" t="n">
        <x:v>46382</x:v>
      </x:c>
      <x:c r="C6" s="18" t="str">
        <x:v>杭州远序数字科技有限公司</x:v>
      </x:c>
      <x:c r="D6" s="18" t="str">
        <x:v>实施服务</x:v>
      </x:c>
      <x:c r="E6" s="20" t="n">
        <x:v>596226.42</x:v>
      </x:c>
      <x:c r="F6" s="26" t="n">
        <x:v>0.06</x:v>
      </x:c>
      <x:c r="G6" s="20" t="n">
        <x:v>35773.58</x:v>
      </x:c>
      <x:c r="H6" s="20" t="n">
        <x:v>632000</x:v>
      </x:c>
    </x:row>
    <x:row r="7">
      <x:c r="A7" s="23" t="str">
        <x:v>合计</x:v>
      </x:c>
      <x:c r="B7" s="23"/>
      <x:c r="C7" s="23"/>
      <x:c r="D7" s="23"/>
      <x:c r="E7" s="24" t="n">
        <x:f>SUM(E5:E6)</x:f>
        <x:v>1211320.76</x:v>
      </x:c>
      <x:c r="F7" s="23"/>
      <x:c r="G7" s="24" t="n">
        <x:f>SUM(G5:G6)</x:f>
        <x:v>72679.24</x:v>
      </x:c>
      <x:c r="H7" s="24" t="n">
        <x:f>SUM(H5:H6)</x:f>
        <x:v>1284000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22" hidden="0" customWidth="1"/>
    <x:col min="7" max="7" width="12" hidden="0" customWidth="1"/>
    <x:col min="8" max="8" width="24" hidden="0" customWidth="1"/>
  </x:cols>
  <x:sheetData>
    <x:row r="1" ht="30" customHeight="1">
      <x:c r="A1" s="4" t="str">
        <x:v>项目实际成本明细</x:v>
      </x:c>
      <x:c r="B1" s="4" t="str">
        <x:v>项目实际成本明细</x:v>
      </x:c>
      <x:c r="C1" s="4" t="str">
        <x:v>项目实际成本明细</x:v>
      </x:c>
      <x:c r="D1" s="4" t="str">
        <x:v>项目实际成本明细</x:v>
      </x:c>
      <x:c r="E1" s="4" t="str">
        <x:v>项目实际成本明细</x:v>
      </x:c>
      <x:c r="F1" s="4" t="str">
        <x:v>项目实际成本明细</x:v>
      </x:c>
      <x:c r="G1" s="4" t="str">
        <x:v>项目实际成本明细</x:v>
      </x:c>
      <x:c r="H1" s="4" t="str">
        <x:v>项目实际成本明细</x:v>
      </x:c>
    </x:row>
    <x:row r="2" ht="22" customHeight="1">
      <x:c r="A2" s="8" t="str">
        <x:v>用于与月报、付款和发票勾稽</x:v>
      </x:c>
      <x:c r="B2" s="8" t="str">
        <x:v>用于与月报、付款和发票勾稽</x:v>
      </x:c>
      <x:c r="C2" s="8" t="str">
        <x:v>用于与月报、付款和发票勾稽</x:v>
      </x:c>
      <x:c r="D2" s="8" t="str">
        <x:v>用于与月报、付款和发票勾稽</x:v>
      </x:c>
      <x:c r="E2" s="8" t="str">
        <x:v>用于与月报、付款和发票勾稽</x:v>
      </x:c>
      <x:c r="F2" s="8" t="str">
        <x:v>用于与月报、付款和发票勾稽</x:v>
      </x:c>
      <x:c r="G2" s="8" t="str">
        <x:v>用于与月报、付款和发票勾稽</x:v>
      </x:c>
      <x:c r="H2" s="8" t="str">
        <x:v>用于与月报、付款和发票勾稽</x:v>
      </x:c>
    </x:row>
    <x:row r="4" ht="28" customHeight="1">
      <x:c r="A4" s="14" t="str">
        <x:v>编号</x:v>
      </x:c>
      <x:c r="B4" s="14" t="str">
        <x:v>日期</x:v>
      </x:c>
      <x:c r="C4" s="14" t="str">
        <x:v>成本类别</x:v>
      </x:c>
      <x:c r="D4" s="14" t="str">
        <x:v>说明</x:v>
      </x:c>
      <x:c r="E4" s="14" t="str">
        <x:v>金额</x:v>
      </x:c>
      <x:c r="F4" s="14" t="str">
        <x:v>来源</x:v>
      </x:c>
      <x:c r="G4" s="14" t="str">
        <x:v>责任人</x:v>
      </x:c>
      <x:c r="H4" s="14" t="str">
        <x:v>状态</x:v>
      </x:c>
    </x:row>
    <x:row r="5">
      <x:c r="A5" s="18" t="str">
        <x:v>AC01</x:v>
      </x:c>
      <x:c r="B5" s="25" t="n">
        <x:v>46323</x:v>
      </x:c>
      <x:c r="C5" s="18" t="str">
        <x:v>外部合同付款</x:v>
      </x:c>
      <x:c r="D5" s="18" t="str">
        <x:v>第一期付款</x:v>
      </x:c>
      <x:c r="E5" s="20" t="n">
        <x:v>652000</x:v>
      </x:c>
      <x:c r="F5" s="18" t="str">
        <x:v>合同付款流水</x:v>
      </x:c>
      <x:c r="G5" s="18" t="str">
        <x:v>孙雅琴</x:v>
      </x:c>
      <x:c r="H5" s="18" t="str">
        <x:v>已入账</x:v>
      </x:c>
    </x:row>
    <x:row r="6">
      <x:c r="A6" s="18" t="str">
        <x:v>AC02</x:v>
      </x:c>
      <x:c r="B6" s="25" t="n">
        <x:v>46385</x:v>
      </x:c>
      <x:c r="C6" s="18" t="str">
        <x:v>外部合同付款</x:v>
      </x:c>
      <x:c r="D6" s="18" t="str">
        <x:v>第二期付款</x:v>
      </x:c>
      <x:c r="E6" s="20" t="n">
        <x:v>652000</x:v>
      </x:c>
      <x:c r="F6" s="18" t="str">
        <x:v>合同付款流水</x:v>
      </x:c>
      <x:c r="G6" s="18" t="str">
        <x:v>孙雅琴</x:v>
      </x:c>
      <x:c r="H6" s="18" t="str">
        <x:v>已入账</x:v>
      </x:c>
    </x:row>
    <x:row r="7">
      <x:c r="A7" s="18" t="str">
        <x:v>AC03</x:v>
      </x:c>
      <x:c r="B7" s="25" t="n">
        <x:v>46326</x:v>
      </x:c>
      <x:c r="C7" s="18" t="str">
        <x:v>内部人工</x:v>
      </x:c>
      <x:c r="D7" s="18" t="str">
        <x:v>启动与调研工时</x:v>
      </x:c>
      <x:c r="E7" s="20" t="n">
        <x:v>18200</x:v>
      </x:c>
      <x:c r="F7" s="18" t="str">
        <x:v>工时汇总</x:v>
      </x:c>
      <x:c r="G7" s="18" t="str">
        <x:v>陈致远</x:v>
      </x:c>
      <x:c r="H7" s="18" t="str">
        <x:v>已入账</x:v>
      </x:c>
    </x:row>
    <x:row r="8">
      <x:c r="A8" s="18" t="str">
        <x:v>AC04</x:v>
      </x:c>
      <x:c r="B8" s="25" t="n">
        <x:v>46356</x:v>
      </x:c>
      <x:c r="C8" s="18" t="str">
        <x:v>内部人工</x:v>
      </x:c>
      <x:c r="D8" s="18" t="str">
        <x:v>需求与接口工时</x:v>
      </x:c>
      <x:c r="E8" s="20" t="n">
        <x:v>15000</x:v>
      </x:c>
      <x:c r="F8" s="18" t="str">
        <x:v>工时汇总</x:v>
      </x:c>
      <x:c r="G8" s="18" t="str">
        <x:v>陈致远</x:v>
      </x:c>
      <x:c r="H8" s="18" t="str">
        <x:v>已入账</x:v>
      </x:c>
    </x:row>
    <x:row r="9">
      <x:c r="A9" s="18" t="str">
        <x:v>AC05</x:v>
      </x:c>
      <x:c r="B9" s="25" t="n">
        <x:v>46387</x:v>
      </x:c>
      <x:c r="C9" s="18" t="str">
        <x:v>内部人工</x:v>
      </x:c>
      <x:c r="D9" s="18" t="str">
        <x:v>设计评审工时</x:v>
      </x:c>
      <x:c r="E9" s="20" t="n">
        <x:v>10000</x:v>
      </x:c>
      <x:c r="F9" s="18" t="str">
        <x:v>工时汇总</x:v>
      </x:c>
      <x:c r="G9" s="18" t="str">
        <x:v>陈致远</x:v>
      </x:c>
      <x:c r="H9" s="18" t="str">
        <x:v>已入账</x:v>
      </x:c>
    </x:row>
    <x:row r="10">
      <x:c r="A10" s="18" t="str">
        <x:v>AC06</x:v>
      </x:c>
      <x:c r="B10" s="25" t="n">
        <x:v>46376</x:v>
      </x:c>
      <x:c r="C10" s="18" t="str">
        <x:v>差旅会议</x:v>
      </x:c>
      <x:c r="D10" s="18" t="str">
        <x:v>设计评审会议</x:v>
      </x:c>
      <x:c r="E10" s="20" t="n">
        <x:v>0</x:v>
      </x:c>
      <x:c r="F10" s="18" t="str">
        <x:v>费用报销</x:v>
      </x:c>
      <x:c r="G10" s="18" t="str">
        <x:v>陈致远</x:v>
      </x:c>
      <x:c r="H10" s="18" t="str">
        <x:v>无发生</x:v>
      </x:c>
    </x:row>
    <x:row r="11">
      <x:c r="A11" s="18" t="str">
        <x:v>AC07</x:v>
      </x:c>
      <x:c r="B11" s="25" t="n">
        <x:v>46384</x:v>
      </x:c>
      <x:c r="C11" s="18" t="str">
        <x:v>外部顾问费</x:v>
      </x:c>
      <x:c r="D11" s="18" t="str">
        <x:v>财务接口顾问服务</x:v>
      </x:c>
      <x:c r="E11" s="20" t="n">
        <x:v>20000</x:v>
      </x:c>
      <x:c r="F11" s="18" t="str">
        <x:v>顾问服务票据</x:v>
      </x:c>
      <x:c r="G11" s="18" t="str">
        <x:v>孙雅琴</x:v>
      </x:c>
      <x:c r="H11" s="18" t="str">
        <x:v>明细有、月报漏汇总</x:v>
      </x:c>
    </x:row>
    <x:row r="12">
      <x:c r="A12" s="23" t="str">
        <x:v>合计</x:v>
      </x:c>
      <x:c r="B12" s="23"/>
      <x:c r="C12" s="23"/>
      <x:c r="D12" s="23"/>
      <x:c r="E12" s="24" t="n">
        <x:f>SUM(E5:E11)</x:f>
        <x:v>1367200</x:v>
      </x:c>
      <x:c r="F12" s="23"/>
      <x:c r="G12" s="23"/>
      <x:c r="H12" s="23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32" hidden="0" customWidth="1"/>
  </x:cols>
  <x:sheetData>
    <x:row r="1" ht="30" customHeight="1">
      <x:c r="A1" s="4" t="str">
        <x:v>月度成本与预计完工</x:v>
      </x:c>
      <x:c r="B1" s="4" t="str">
        <x:v>月度成本与预计完工</x:v>
      </x:c>
      <x:c r="C1" s="4" t="str">
        <x:v>月度成本与预计完工</x:v>
      </x:c>
      <x:c r="D1" s="4" t="str">
        <x:v>月度成本与预计完工</x:v>
      </x:c>
      <x:c r="E1" s="4" t="str">
        <x:v>月度成本与预计完工</x:v>
      </x:c>
      <x:c r="F1" s="4" t="str">
        <x:v>月度成本与预计完工</x:v>
      </x:c>
      <x:c r="G1" s="4" t="str">
        <x:v>月度成本与预计完工</x:v>
      </x:c>
      <x:c r="H1" s="4" t="str">
        <x:v>月度成本与预计完工</x:v>
      </x:c>
    </x:row>
    <x:row r="2" ht="22" customHeight="1">
      <x:c r="A2" s="8" t="str">
        <x:v>实际、预算和预计完工按月列示</x:v>
      </x:c>
      <x:c r="B2" s="8" t="str">
        <x:v>实际、预算和预计完工按月列示</x:v>
      </x:c>
      <x:c r="C2" s="8" t="str">
        <x:v>实际、预算和预计完工按月列示</x:v>
      </x:c>
      <x:c r="D2" s="8" t="str">
        <x:v>实际、预算和预计完工按月列示</x:v>
      </x:c>
      <x:c r="E2" s="8" t="str">
        <x:v>实际、预算和预计完工按月列示</x:v>
      </x:c>
      <x:c r="F2" s="8" t="str">
        <x:v>实际、预算和预计完工按月列示</x:v>
      </x:c>
      <x:c r="G2" s="8" t="str">
        <x:v>实际、预算和预计完工按月列示</x:v>
      </x:c>
      <x:c r="H2" s="8" t="str">
        <x:v>实际、预算和预计完工按月列示</x:v>
      </x:c>
    </x:row>
    <x:row r="4" ht="28" customHeight="1">
      <x:c r="A4" s="14" t="str">
        <x:v>月份</x:v>
      </x:c>
      <x:c r="B4" s="14" t="str">
        <x:v>预算分配</x:v>
      </x:c>
      <x:c r="C4" s="14" t="str">
        <x:v>月报实际</x:v>
      </x:c>
      <x:c r="D4" s="14" t="str">
        <x:v>预测成本</x:v>
      </x:c>
      <x:c r="E4" s="14" t="str">
        <x:v>实际/预测</x:v>
      </x:c>
      <x:c r="F4" s="14" t="str">
        <x:v>累计月报实际</x:v>
      </x:c>
      <x:c r="G4" s="14" t="str">
        <x:v>累计实际/预测</x:v>
      </x:c>
      <x:c r="H4" s="14" t="str">
        <x:v>说明</x:v>
      </x:c>
    </x:row>
    <x:row r="5">
      <x:c r="A5" s="18" t="str">
        <x:v>2026-10</x:v>
      </x:c>
      <x:c r="B5" s="20" t="n">
        <x:v>700000</x:v>
      </x:c>
      <x:c r="C5" s="20" t="n">
        <x:v>670200</x:v>
      </x:c>
      <x:c r="D5" s="20" t="n">
        <x:v>0</x:v>
      </x:c>
      <x:c r="E5" s="20" t="n">
        <x:v>670200</x:v>
      </x:c>
      <x:c r="F5" s="20" t="n">
        <x:v>670200</x:v>
      </x:c>
      <x:c r="G5" s="20" t="n">
        <x:v>670200</x:v>
      </x:c>
      <x:c r="H5" s="18" t="str">
        <x:v>启动和首付款</x:v>
      </x:c>
    </x:row>
    <x:row r="6">
      <x:c r="A6" s="18" t="str">
        <x:v>2026-11</x:v>
      </x:c>
      <x:c r="B6" s="20" t="n">
        <x:v>180000</x:v>
      </x:c>
      <x:c r="C6" s="20" t="n">
        <x:v>15000</x:v>
      </x:c>
      <x:c r="D6" s="20" t="n">
        <x:v>85000</x:v>
      </x:c>
      <x:c r="E6" s="20" t="n">
        <x:v>100000</x:v>
      </x:c>
      <x:c r="F6" s="20" t="n">
        <x:v>685200</x:v>
      </x:c>
      <x:c r="G6" s="20" t="n">
        <x:v>770200</x:v>
      </x:c>
      <x:c r="H6" s="18" t="str">
        <x:v>需求阶段</x:v>
      </x:c>
    </x:row>
    <x:row r="7">
      <x:c r="A7" s="18" t="str">
        <x:v>2026-12</x:v>
      </x:c>
      <x:c r="B7" s="20" t="n">
        <x:v>720000</x:v>
      </x:c>
      <x:c r="C7" s="20" t="n">
        <x:v>662000</x:v>
      </x:c>
      <x:c r="D7" s="20" t="n">
        <x:v>0</x:v>
      </x:c>
      <x:c r="E7" s="20" t="n">
        <x:v>662000</x:v>
      </x:c>
      <x:c r="F7" s="20" t="n">
        <x:v>1347200</x:v>
      </x:c>
      <x:c r="G7" s="20" t="n">
        <x:v>1432200</x:v>
      </x:c>
      <x:c r="H7" s="18" t="str">
        <x:v>月报未含顾问费20,000</x:v>
      </x:c>
    </x:row>
    <x:row r="8">
      <x:c r="A8" s="18" t="str">
        <x:v>2027-01</x:v>
      </x:c>
      <x:c r="B8" s="20" t="n">
        <x:v>340000</x:v>
      </x:c>
      <x:c r="C8" s="20" t="n">
        <x:v>0</x:v>
      </x:c>
      <x:c r="D8" s="20" t="n">
        <x:v>325000</x:v>
      </x:c>
      <x:c r="E8" s="20" t="n">
        <x:v>325000</x:v>
      </x:c>
      <x:c r="F8" s="20" t="n">
        <x:v>1347200</x:v>
      </x:c>
      <x:c r="G8" s="20" t="n">
        <x:v>1757200</x:v>
      </x:c>
      <x:c r="H8" s="18" t="str">
        <x:v>构建阶段</x:v>
      </x:c>
    </x:row>
    <x:row r="9">
      <x:c r="A9" s="18" t="str">
        <x:v>2027-02</x:v>
      </x:c>
      <x:c r="B9" s="20" t="n">
        <x:v>520000</x:v>
      </x:c>
      <x:c r="C9" s="20" t="n">
        <x:v>0</x:v>
      </x:c>
      <x:c r="D9" s="20" t="n">
        <x:v>510000</x:v>
      </x:c>
      <x:c r="E9" s="20" t="n">
        <x:v>510000</x:v>
      </x:c>
      <x:c r="F9" s="20" t="n">
        <x:v>1347200</x:v>
      </x:c>
      <x:c r="G9" s="20" t="n">
        <x:v>2267200</x:v>
      </x:c>
      <x:c r="H9" s="18" t="str">
        <x:v>构建完成</x:v>
      </x:c>
    </x:row>
    <x:row r="10">
      <x:c r="A10" s="18" t="str">
        <x:v>2027-03</x:v>
      </x:c>
      <x:c r="B10" s="20" t="n">
        <x:v>1080000</x:v>
      </x:c>
      <x:c r="C10" s="20" t="n">
        <x:v>0</x:v>
      </x:c>
      <x:c r="D10" s="20" t="n">
        <x:v>1065000</x:v>
      </x:c>
      <x:c r="E10" s="20" t="n">
        <x:v>1065000</x:v>
      </x:c>
      <x:c r="F10" s="20" t="n">
        <x:v>1347200</x:v>
      </x:c>
      <x:c r="G10" s="20" t="n">
        <x:v>3332200</x:v>
      </x:c>
      <x:c r="H10" s="18" t="str">
        <x:v>测试和第三期付款</x:v>
      </x:c>
    </x:row>
    <x:row r="11">
      <x:c r="A11" s="18" t="str">
        <x:v>2027-04</x:v>
      </x:c>
      <x:c r="B11" s="20" t="n">
        <x:v>1140000</x:v>
      </x:c>
      <x:c r="C11" s="20" t="n">
        <x:v>0</x:v>
      </x:c>
      <x:c r="D11" s="20" t="n">
        <x:v>313800</x:v>
      </x:c>
      <x:c r="E11" s="20" t="n">
        <x:v>313800</x:v>
      </x:c>
      <x:c r="F11" s="20" t="n">
        <x:v>1347200</x:v>
      </x:c>
      <x:c r="G11" s="20" t="n">
        <x:v>3646000</x:v>
      </x:c>
      <x:c r="H11" s="18" t="str">
        <x:v>验收及内部费用</x:v>
      </x:c>
    </x:row>
  </x:sheetData>
  <x:mergeCells>
    <x:mergeCell ref="A1:H1"/>
    <x:mergeCell ref="A2:H2"/>
  </x:mergeCells>
  <x:pageMargins left="0.7" right="0.7" top="0.75" bottom="0.75" header="0.3" footer="0.3"/>
</x:worksheet>
</file>